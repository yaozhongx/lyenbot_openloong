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<sst xmlns="http://schemas.openxmlformats.org/spreadsheetml/2006/main" count="110" uniqueCount="49">
  <si>
    <t>部位分类</t>
  </si>
  <si>
    <t>Link 名称</t>
  </si>
  <si>
    <t>Mass (kg)</t>
  </si>
  <si>
    <t>CoM_X</t>
  </si>
  <si>
    <t>∆</t>
  </si>
  <si>
    <t>CoM_Y</t>
  </si>
  <si>
    <t>CoM_Z</t>
  </si>
  <si>
    <t>Ixx</t>
  </si>
  <si>
    <t>Iyy</t>
  </si>
  <si>
    <t>Izz</t>
  </si>
  <si>
    <t>Ixy</t>
  </si>
  <si>
    <t>Ixz</t>
  </si>
  <si>
    <t>Iyz</t>
  </si>
  <si>
    <t>髋部俯仰</t>
  </si>
  <si>
    <t>left_hip_pitch_link</t>
  </si>
  <si>
    <t>right_hip_pitch_link</t>
  </si>
  <si>
    <t>髋部横滚</t>
  </si>
  <si>
    <t>left_hip_roll_link</t>
  </si>
  <si>
    <t>right_hip_roll_link</t>
  </si>
  <si>
    <t>髋部偏航</t>
  </si>
  <si>
    <t>left_hip_yaw_link</t>
  </si>
  <si>
    <t>right_hip_yaw_link</t>
  </si>
  <si>
    <t>膝盖俯仰</t>
  </si>
  <si>
    <t>left_knee_pitch_link</t>
  </si>
  <si>
    <t>right_knee_pitch_link</t>
  </si>
  <si>
    <t>踝部俯仰</t>
  </si>
  <si>
    <t>left_ankle_pitch_link</t>
  </si>
  <si>
    <t>right_ankle_pitch_link</t>
  </si>
  <si>
    <t>踝部横滚</t>
  </si>
  <si>
    <t>left_ankle_roll_link</t>
  </si>
  <si>
    <t>right_ankle_roll_link</t>
  </si>
  <si>
    <t>足底接触</t>
  </si>
  <si>
    <t>left_foot_contact</t>
  </si>
  <si>
    <t>right_foot_contact</t>
  </si>
  <si>
    <t>肩部俯仰</t>
  </si>
  <si>
    <t>left_shoulder_pitch</t>
  </si>
  <si>
    <t>right_shoulder_pitch</t>
  </si>
  <si>
    <t>肩部横滚</t>
  </si>
  <si>
    <t>left_shoulder_roll</t>
  </si>
  <si>
    <t>right_shoulder_roll</t>
  </si>
  <si>
    <t>肘部偏航</t>
  </si>
  <si>
    <t>left_elbow_yaw</t>
  </si>
  <si>
    <t>right_elbow_yaw</t>
  </si>
  <si>
    <t>肘部俯仰</t>
  </si>
  <si>
    <t>left_elbow_pitch</t>
  </si>
  <si>
    <t>right_elbow_pitch</t>
  </si>
  <si>
    <t>肘部横滚</t>
  </si>
  <si>
    <t>left_elbow_roll</t>
  </si>
  <si>
    <t>right_elbow_roll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</si>
</sst>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8" borderId="19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16" fillId="9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right" vertical="center" wrapText="1"/>
    </xf>
    <xf numFmtId="176" fontId="2" fillId="3" borderId="5" xfId="0" applyNumberFormat="1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right" vertical="center" wrapText="1"/>
    </xf>
    <xf numFmtId="176" fontId="2" fillId="3" borderId="8" xfId="0" applyNumberFormat="1" applyFont="1" applyFill="1" applyBorder="1" applyAlignment="1">
      <alignment horizontal="center" vertical="center" wrapText="1"/>
    </xf>
    <xf numFmtId="176" fontId="2" fillId="3" borderId="9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right" vertical="center" wrapText="1"/>
    </xf>
    <xf numFmtId="176" fontId="2" fillId="4" borderId="8" xfId="0" applyNumberFormat="1" applyFont="1" applyFill="1" applyBorder="1" applyAlignment="1">
      <alignment horizontal="center" vertical="center" wrapText="1"/>
    </xf>
    <xf numFmtId="176" fontId="2" fillId="4" borderId="9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right" vertical="center" wrapText="1"/>
    </xf>
    <xf numFmtId="176" fontId="2" fillId="5" borderId="8" xfId="0" applyNumberFormat="1" applyFont="1" applyFill="1" applyBorder="1" applyAlignment="1">
      <alignment horizontal="center" vertical="center" wrapText="1"/>
    </xf>
    <xf numFmtId="176" fontId="2" fillId="5" borderId="9" xfId="0" applyNumberFormat="1" applyFont="1" applyFill="1" applyBorder="1" applyAlignment="1">
      <alignment horizontal="center" vertical="center" wrapText="1"/>
    </xf>
    <xf numFmtId="176" fontId="2" fillId="5" borderId="8" xfId="0" applyNumberFormat="1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horizontal="right" vertical="center" wrapText="1"/>
    </xf>
    <xf numFmtId="176" fontId="3" fillId="5" borderId="8" xfId="0" applyNumberFormat="1" applyFont="1" applyFill="1" applyBorder="1" applyAlignment="1">
      <alignment horizontal="center" vertical="center" wrapText="1"/>
    </xf>
    <xf numFmtId="176" fontId="2" fillId="4" borderId="8" xfId="0" applyNumberFormat="1" applyFont="1" applyFill="1" applyBorder="1" applyAlignment="1">
      <alignment horizontal="right" vertical="center" wrapText="1"/>
    </xf>
    <xf numFmtId="176" fontId="2" fillId="3" borderId="8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right" vertical="center" wrapText="1"/>
    </xf>
    <xf numFmtId="176" fontId="2" fillId="3" borderId="11" xfId="0" applyNumberFormat="1" applyFont="1" applyFill="1" applyBorder="1" applyAlignment="1">
      <alignment horizontal="center" vertical="center" wrapText="1"/>
    </xf>
    <xf numFmtId="176" fontId="2" fillId="3" borderId="12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right" vertical="center" wrapText="1"/>
    </xf>
    <xf numFmtId="176" fontId="2" fillId="5" borderId="11" xfId="0" applyNumberFormat="1" applyFont="1" applyFill="1" applyBorder="1" applyAlignment="1">
      <alignment horizontal="center" vertical="center" wrapText="1"/>
    </xf>
    <xf numFmtId="176" fontId="2" fillId="5" borderId="11" xfId="0" applyNumberFormat="1" applyFont="1" applyFill="1" applyBorder="1" applyAlignment="1">
      <alignment horizontal="right" vertical="center" wrapText="1"/>
    </xf>
    <xf numFmtId="176" fontId="2" fillId="3" borderId="13" xfId="0" applyNumberFormat="1" applyFont="1" applyFill="1" applyBorder="1" applyAlignment="1">
      <alignment horizontal="center" vertical="center" wrapText="1"/>
    </xf>
    <xf numFmtId="176" fontId="2" fillId="3" borderId="14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45C4ED37-E23A-4148-8152-73A5017BE80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镶边行表格样式_676304" count="10" xr9:uid="{CE0CF9C2-2D65-4F29-AD12-4D8144B4536C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zoomScale="115" zoomScaleNormal="115" topLeftCell="A22" workbookViewId="0">
      <selection activeCell="L38" sqref="L38"/>
    </sheetView>
  </sheetViews>
  <sheetFormatPr defaultColWidth="9" defaultRowHeight="13.5"/>
  <cols>
    <col min="2" max="2" width="22.625" customWidth="1"/>
    <col min="3" max="3" width="11.5"/>
    <col min="4" max="4" width="12.625" customWidth="1"/>
    <col min="5" max="5" width="12.5" customWidth="1"/>
    <col min="6" max="8" width="12.625" customWidth="1"/>
    <col min="9" max="14" width="11.5" customWidth="1"/>
    <col min="15" max="16" width="12.625" customWidth="1"/>
    <col min="17" max="20" width="12.625"/>
    <col min="21" max="21" width="12.5"/>
  </cols>
  <sheetData>
    <row r="1" ht="14.25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4</v>
      </c>
      <c r="J1" s="2" t="s">
        <v>7</v>
      </c>
      <c r="K1" s="2" t="s">
        <v>4</v>
      </c>
      <c r="L1" s="2" t="s">
        <v>8</v>
      </c>
      <c r="M1" s="2" t="s">
        <v>4</v>
      </c>
      <c r="N1" s="2" t="s">
        <v>9</v>
      </c>
      <c r="O1" s="2" t="s">
        <v>4</v>
      </c>
      <c r="P1" s="2" t="s">
        <v>10</v>
      </c>
      <c r="Q1" s="2" t="s">
        <v>4</v>
      </c>
      <c r="R1" s="2" t="s">
        <v>11</v>
      </c>
      <c r="S1" s="2" t="s">
        <v>4</v>
      </c>
      <c r="T1" s="2" t="s">
        <v>12</v>
      </c>
      <c r="U1" s="3" t="s">
        <v>4</v>
      </c>
    </row>
    <row r="2" ht="18.5" customHeight="1" spans="1:21">
      <c r="A2" s="4" t="s">
        <v>13</v>
      </c>
      <c r="B2" s="5" t="s">
        <v>14</v>
      </c>
      <c r="C2" s="5">
        <v>1.312</v>
      </c>
      <c r="D2" s="6">
        <v>0.00140443</v>
      </c>
      <c r="E2" s="7">
        <f>D2-D3</f>
        <v>-3.10000000000111e-7</v>
      </c>
      <c r="F2" s="6">
        <v>0.00964701</v>
      </c>
      <c r="G2" s="7">
        <f>F2+F3</f>
        <v>-2.30000000000369e-7</v>
      </c>
      <c r="H2" s="6">
        <v>-1.202e-5</v>
      </c>
      <c r="I2" s="7">
        <f>H2-H3</f>
        <v>-6.99999999999993e-8</v>
      </c>
      <c r="J2" s="6">
        <v>0.00282665</v>
      </c>
      <c r="K2" s="7">
        <f>J2-J3</f>
        <v>-2.99999999998218e-8</v>
      </c>
      <c r="L2" s="6">
        <v>0.00062886</v>
      </c>
      <c r="M2" s="7">
        <f>L2-L3</f>
        <v>9.99999999994061e-9</v>
      </c>
      <c r="N2" s="6">
        <v>0.00260272</v>
      </c>
      <c r="O2" s="7">
        <f>N2-N3</f>
        <v>1.00000000003743e-8</v>
      </c>
      <c r="P2" s="6">
        <v>-6.347e-5</v>
      </c>
      <c r="Q2" s="7">
        <f>P2+P3</f>
        <v>-9.99999999999482e-9</v>
      </c>
      <c r="R2" s="6">
        <v>5.2e-7</v>
      </c>
      <c r="S2" s="7">
        <f>R2-R3</f>
        <v>0</v>
      </c>
      <c r="T2" s="6">
        <v>6.9e-7</v>
      </c>
      <c r="U2" s="8">
        <f>T2+T3</f>
        <v>1e-8</v>
      </c>
    </row>
    <row r="3" ht="18.5" customHeight="1" spans="1:21">
      <c r="A3" s="9"/>
      <c r="B3" s="10" t="s">
        <v>15</v>
      </c>
      <c r="C3" s="10">
        <v>1.312</v>
      </c>
      <c r="D3" s="11">
        <v>0.00140474</v>
      </c>
      <c r="E3" s="12"/>
      <c r="F3" s="11">
        <v>-0.00964724</v>
      </c>
      <c r="G3" s="12"/>
      <c r="H3" s="11">
        <v>-1.195e-5</v>
      </c>
      <c r="I3" s="12"/>
      <c r="J3" s="11">
        <v>0.00282668</v>
      </c>
      <c r="K3" s="12"/>
      <c r="L3" s="11">
        <v>0.00062885</v>
      </c>
      <c r="M3" s="12"/>
      <c r="N3" s="11">
        <v>0.00260271</v>
      </c>
      <c r="O3" s="12"/>
      <c r="P3" s="11">
        <v>6.346e-5</v>
      </c>
      <c r="Q3" s="12"/>
      <c r="R3" s="11">
        <v>5.2e-7</v>
      </c>
      <c r="S3" s="12"/>
      <c r="T3" s="11">
        <v>-6.8e-7</v>
      </c>
      <c r="U3" s="13"/>
    </row>
    <row r="4" ht="18.5" customHeight="1" spans="1:21">
      <c r="A4" s="14" t="s">
        <v>16</v>
      </c>
      <c r="B4" s="15" t="s">
        <v>17</v>
      </c>
      <c r="C4" s="15">
        <v>1.3451</v>
      </c>
      <c r="D4" s="16">
        <v>-0.00353254</v>
      </c>
      <c r="E4" s="17">
        <f>D4-D5</f>
        <v>-2.90000000000012e-7</v>
      </c>
      <c r="F4" s="16">
        <v>0.00055227</v>
      </c>
      <c r="G4" s="17">
        <f>F4+F5</f>
        <v>3.49999999999981e-7</v>
      </c>
      <c r="H4" s="16">
        <v>-0.05486119</v>
      </c>
      <c r="I4" s="17">
        <f>H4-H5</f>
        <v>3.36000000000086e-6</v>
      </c>
      <c r="J4" s="16">
        <v>0.00501584</v>
      </c>
      <c r="K4" s="17">
        <f>J4-J5</f>
        <v>3.29999999999775e-7</v>
      </c>
      <c r="L4" s="16">
        <v>0.00516909</v>
      </c>
      <c r="M4" s="17">
        <f>L4-L5</f>
        <v>4.10000000000167e-7</v>
      </c>
      <c r="N4" s="16">
        <v>0.00106937</v>
      </c>
      <c r="O4" s="17">
        <f>N4-N5</f>
        <v>3.99999999999793e-8</v>
      </c>
      <c r="P4" s="16">
        <v>-4.76e-6</v>
      </c>
      <c r="Q4" s="17">
        <f>P4+P5</f>
        <v>8.00000000000001e-8</v>
      </c>
      <c r="R4" s="16">
        <v>0.00024872</v>
      </c>
      <c r="S4" s="17">
        <f>R4-R5</f>
        <v>-2.29999999999989e-7</v>
      </c>
      <c r="T4" s="16">
        <v>-1.828e-5</v>
      </c>
      <c r="U4" s="18">
        <f>T4+T5</f>
        <v>-3.99999999999996e-8</v>
      </c>
    </row>
    <row r="5" ht="18.5" customHeight="1" spans="1:21">
      <c r="A5" s="14"/>
      <c r="B5" s="15" t="s">
        <v>18</v>
      </c>
      <c r="C5" s="15">
        <v>1.3451</v>
      </c>
      <c r="D5" s="16">
        <v>-0.00353225</v>
      </c>
      <c r="E5" s="17"/>
      <c r="F5" s="16">
        <v>-0.00055192</v>
      </c>
      <c r="G5" s="17"/>
      <c r="H5" s="16">
        <v>-0.05486455</v>
      </c>
      <c r="I5" s="17"/>
      <c r="J5" s="16">
        <v>0.00501551</v>
      </c>
      <c r="K5" s="17"/>
      <c r="L5" s="16">
        <v>0.00516868</v>
      </c>
      <c r="M5" s="17"/>
      <c r="N5" s="16">
        <v>0.00106933</v>
      </c>
      <c r="O5" s="17"/>
      <c r="P5" s="16">
        <v>4.84e-6</v>
      </c>
      <c r="Q5" s="17"/>
      <c r="R5" s="16">
        <v>0.00024895</v>
      </c>
      <c r="S5" s="17"/>
      <c r="T5" s="16">
        <v>1.824e-5</v>
      </c>
      <c r="U5" s="18"/>
    </row>
    <row r="6" ht="18.5" customHeight="1" spans="1:21">
      <c r="A6" s="9" t="s">
        <v>19</v>
      </c>
      <c r="B6" s="10" t="s">
        <v>20</v>
      </c>
      <c r="C6" s="10">
        <v>1.9674</v>
      </c>
      <c r="D6" s="19">
        <v>0.00363502</v>
      </c>
      <c r="E6" s="20">
        <f>D6-D7</f>
        <v>8.95000000000019e-6</v>
      </c>
      <c r="F6" s="19">
        <v>-0.00257968</v>
      </c>
      <c r="G6" s="20">
        <f>F6+F7</f>
        <v>4.05200000000001e-5</v>
      </c>
      <c r="H6" s="19">
        <v>-0.13138713</v>
      </c>
      <c r="I6" s="20">
        <f>H6-H7</f>
        <v>-4.68299999999977e-5</v>
      </c>
      <c r="J6" s="19">
        <v>0.01876222</v>
      </c>
      <c r="K6" s="20">
        <f>J6-J7</f>
        <v>3.77999999999837e-6</v>
      </c>
      <c r="L6" s="19">
        <v>0.01852053</v>
      </c>
      <c r="M6" s="20">
        <f>L6-L7</f>
        <v>4.65000000000187e-6</v>
      </c>
      <c r="N6" s="19">
        <v>0.00217007</v>
      </c>
      <c r="O6" s="20">
        <f>N6-N7</f>
        <v>1.5499999999999e-6</v>
      </c>
      <c r="P6" s="11">
        <v>-1.798e-5</v>
      </c>
      <c r="Q6" s="12">
        <f>P6+P7</f>
        <v>-6.40000000000001e-7</v>
      </c>
      <c r="R6" s="19">
        <v>-9.305e-5</v>
      </c>
      <c r="S6" s="20">
        <f>R6-R7</f>
        <v>3.53e-6</v>
      </c>
      <c r="T6" s="19">
        <v>-0.00044152</v>
      </c>
      <c r="U6" s="21">
        <f>T6+T7</f>
        <v>-3.67e-6</v>
      </c>
    </row>
    <row r="7" ht="18.5" customHeight="1" spans="1:21">
      <c r="A7" s="9"/>
      <c r="B7" s="10" t="s">
        <v>21</v>
      </c>
      <c r="C7" s="10">
        <v>1.9674</v>
      </c>
      <c r="D7" s="19">
        <v>0.00362607</v>
      </c>
      <c r="E7" s="20"/>
      <c r="F7" s="22">
        <v>0.0026202</v>
      </c>
      <c r="G7" s="20"/>
      <c r="H7" s="22">
        <v>-0.1313403</v>
      </c>
      <c r="I7" s="20"/>
      <c r="J7" s="19">
        <v>0.01875844</v>
      </c>
      <c r="K7" s="20"/>
      <c r="L7" s="19">
        <v>0.01851588</v>
      </c>
      <c r="M7" s="20"/>
      <c r="N7" s="19">
        <v>0.00216852</v>
      </c>
      <c r="O7" s="20"/>
      <c r="P7" s="11">
        <v>1.734e-5</v>
      </c>
      <c r="Q7" s="12"/>
      <c r="R7" s="19">
        <v>-9.658e-5</v>
      </c>
      <c r="S7" s="20"/>
      <c r="T7" s="19">
        <v>0.00043785</v>
      </c>
      <c r="U7" s="21"/>
    </row>
    <row r="8" ht="18.5" customHeight="1" spans="1:21">
      <c r="A8" s="14" t="s">
        <v>22</v>
      </c>
      <c r="B8" s="15" t="s">
        <v>23</v>
      </c>
      <c r="C8" s="15">
        <v>2.73576</v>
      </c>
      <c r="D8" s="23">
        <v>-0.00110256</v>
      </c>
      <c r="E8" s="24">
        <f>D8-D9</f>
        <v>1.08299999999999e-5</v>
      </c>
      <c r="F8" s="19">
        <v>0.00099679</v>
      </c>
      <c r="G8" s="20">
        <f>F8+F9</f>
        <v>3.909e-5</v>
      </c>
      <c r="H8" s="19">
        <v>-0.13258743</v>
      </c>
      <c r="I8" s="20">
        <f>H8-H9</f>
        <v>1.42399999999987e-5</v>
      </c>
      <c r="J8" s="16">
        <v>0.03544171</v>
      </c>
      <c r="K8" s="17">
        <f>J8-J9</f>
        <v>-9.00000000012002e-8</v>
      </c>
      <c r="L8" s="16">
        <v>0.03581114</v>
      </c>
      <c r="M8" s="17">
        <f>L8-L9</f>
        <v>1.79999999995462e-7</v>
      </c>
      <c r="N8" s="16">
        <v>0.00155576</v>
      </c>
      <c r="O8" s="17">
        <f>N8-N9</f>
        <v>-1.40000000000036e-7</v>
      </c>
      <c r="P8" s="16">
        <v>3.81e-6</v>
      </c>
      <c r="Q8" s="17">
        <f>P8+P9</f>
        <v>-8.6e-7</v>
      </c>
      <c r="R8" s="16">
        <v>-0.00118576</v>
      </c>
      <c r="S8" s="17">
        <f>R8-R9</f>
        <v>-4.18999999999984e-6</v>
      </c>
      <c r="T8" s="19">
        <v>-0.00031906</v>
      </c>
      <c r="U8" s="21">
        <f>T8+T9</f>
        <v>9.91999999999996e-6</v>
      </c>
    </row>
    <row r="9" ht="18.5" customHeight="1" spans="1:21">
      <c r="A9" s="14"/>
      <c r="B9" s="15" t="s">
        <v>24</v>
      </c>
      <c r="C9" s="15">
        <v>2.73576</v>
      </c>
      <c r="D9" s="23">
        <v>-0.00111339</v>
      </c>
      <c r="E9" s="24"/>
      <c r="F9" s="22">
        <v>-0.0009577</v>
      </c>
      <c r="G9" s="20"/>
      <c r="H9" s="19">
        <v>-0.13260167</v>
      </c>
      <c r="I9" s="20"/>
      <c r="J9" s="25">
        <v>0.0354418</v>
      </c>
      <c r="K9" s="17"/>
      <c r="L9" s="16">
        <v>0.03581096</v>
      </c>
      <c r="M9" s="17"/>
      <c r="N9" s="25">
        <v>0.0015559</v>
      </c>
      <c r="O9" s="17"/>
      <c r="P9" s="16">
        <v>-4.67e-6</v>
      </c>
      <c r="Q9" s="17"/>
      <c r="R9" s="16">
        <v>-0.00118157</v>
      </c>
      <c r="S9" s="17"/>
      <c r="T9" s="19">
        <v>0.00032898</v>
      </c>
      <c r="U9" s="21"/>
    </row>
    <row r="10" ht="18.5" customHeight="1" spans="1:21">
      <c r="A10" s="9" t="s">
        <v>25</v>
      </c>
      <c r="B10" s="10" t="s">
        <v>26</v>
      </c>
      <c r="C10" s="10">
        <v>0.05035</v>
      </c>
      <c r="D10" s="11">
        <v>1.749e-5</v>
      </c>
      <c r="E10" s="12">
        <f>D10-D11</f>
        <v>0</v>
      </c>
      <c r="F10" s="19">
        <v>0</v>
      </c>
      <c r="G10" s="20">
        <f>F10+F11</f>
        <v>-2.38e-6</v>
      </c>
      <c r="H10" s="11">
        <v>0.0020239</v>
      </c>
      <c r="I10" s="12">
        <f>H10-H11</f>
        <v>0</v>
      </c>
      <c r="J10" s="11">
        <v>5.46e-6</v>
      </c>
      <c r="K10" s="12">
        <f>J10-J11</f>
        <v>0</v>
      </c>
      <c r="L10" s="11">
        <v>5.46e-6</v>
      </c>
      <c r="M10" s="12">
        <f>L10-L11</f>
        <v>0</v>
      </c>
      <c r="N10" s="26">
        <v>8e-6</v>
      </c>
      <c r="O10" s="12">
        <f>N10-N11</f>
        <v>0</v>
      </c>
      <c r="P10" s="11">
        <v>0</v>
      </c>
      <c r="Q10" s="12">
        <f>P10+P11</f>
        <v>0</v>
      </c>
      <c r="R10" s="11">
        <v>-1e-8</v>
      </c>
      <c r="S10" s="12">
        <f>R10-R11</f>
        <v>0</v>
      </c>
      <c r="T10" s="11">
        <v>0</v>
      </c>
      <c r="U10" s="13">
        <f>T10+T11</f>
        <v>0</v>
      </c>
    </row>
    <row r="11" ht="18.5" customHeight="1" spans="1:21">
      <c r="A11" s="9"/>
      <c r="B11" s="10" t="s">
        <v>27</v>
      </c>
      <c r="C11" s="10">
        <v>0.05035</v>
      </c>
      <c r="D11" s="11">
        <v>1.749e-5</v>
      </c>
      <c r="E11" s="12"/>
      <c r="F11" s="19">
        <v>-2.38e-6</v>
      </c>
      <c r="G11" s="20"/>
      <c r="H11" s="11">
        <v>0.0020239</v>
      </c>
      <c r="I11" s="12"/>
      <c r="J11" s="11">
        <v>5.46e-6</v>
      </c>
      <c r="K11" s="12"/>
      <c r="L11" s="11">
        <v>5.46e-6</v>
      </c>
      <c r="M11" s="12"/>
      <c r="N11" s="26">
        <v>8e-6</v>
      </c>
      <c r="O11" s="12"/>
      <c r="P11" s="11">
        <v>0</v>
      </c>
      <c r="Q11" s="12"/>
      <c r="R11" s="11">
        <v>-1e-8</v>
      </c>
      <c r="S11" s="12"/>
      <c r="T11" s="11">
        <v>0</v>
      </c>
      <c r="U11" s="13"/>
    </row>
    <row r="12" ht="18.5" customHeight="1" spans="1:21">
      <c r="A12" s="14" t="s">
        <v>28</v>
      </c>
      <c r="B12" s="15" t="s">
        <v>29</v>
      </c>
      <c r="C12" s="15">
        <v>0.27965</v>
      </c>
      <c r="D12" s="16">
        <v>0.02009111</v>
      </c>
      <c r="E12" s="17">
        <f>D12-D13</f>
        <v>0</v>
      </c>
      <c r="F12" s="16">
        <v>-4.66e-6</v>
      </c>
      <c r="G12" s="17">
        <f>F12+F13</f>
        <v>0</v>
      </c>
      <c r="H12" s="16">
        <v>-0.02249207</v>
      </c>
      <c r="I12" s="17">
        <f>H12-H13</f>
        <v>0</v>
      </c>
      <c r="J12" s="16">
        <v>0.00013832</v>
      </c>
      <c r="K12" s="17">
        <f>J12-J13</f>
        <v>0</v>
      </c>
      <c r="L12" s="16">
        <v>0.0007883</v>
      </c>
      <c r="M12" s="17">
        <f>L12-L13</f>
        <v>0</v>
      </c>
      <c r="N12" s="16">
        <v>0.00083504</v>
      </c>
      <c r="O12" s="17">
        <f>N12-N13</f>
        <v>0</v>
      </c>
      <c r="P12" s="16">
        <v>-7e-8</v>
      </c>
      <c r="Q12" s="17">
        <f>P12+P13</f>
        <v>0</v>
      </c>
      <c r="R12" s="16">
        <v>6.23e-5</v>
      </c>
      <c r="S12" s="17">
        <f>R12-R13</f>
        <v>0</v>
      </c>
      <c r="T12" s="16">
        <v>-3e-8</v>
      </c>
      <c r="U12" s="18">
        <f>T12-T13</f>
        <v>0</v>
      </c>
    </row>
    <row r="13" ht="18.5" customHeight="1" spans="1:21">
      <c r="A13" s="14"/>
      <c r="B13" s="15" t="s">
        <v>30</v>
      </c>
      <c r="C13" s="15">
        <v>0.27965</v>
      </c>
      <c r="D13" s="16">
        <v>0.02009111</v>
      </c>
      <c r="E13" s="17"/>
      <c r="F13" s="16">
        <v>4.66e-6</v>
      </c>
      <c r="G13" s="17"/>
      <c r="H13" s="16">
        <v>-0.02249207</v>
      </c>
      <c r="I13" s="17"/>
      <c r="J13" s="16">
        <v>0.00013832</v>
      </c>
      <c r="K13" s="17"/>
      <c r="L13" s="16">
        <v>0.0007883</v>
      </c>
      <c r="M13" s="17"/>
      <c r="N13" s="16">
        <v>0.00083504</v>
      </c>
      <c r="O13" s="17"/>
      <c r="P13" s="16">
        <v>7e-8</v>
      </c>
      <c r="Q13" s="17"/>
      <c r="R13" s="16">
        <v>6.23e-5</v>
      </c>
      <c r="S13" s="17"/>
      <c r="T13" s="16">
        <v>-3e-8</v>
      </c>
      <c r="U13" s="18"/>
    </row>
    <row r="14" ht="18.5" customHeight="1" spans="1:21">
      <c r="A14" s="9" t="s">
        <v>31</v>
      </c>
      <c r="B14" s="10" t="s">
        <v>32</v>
      </c>
      <c r="C14" s="10">
        <v>1e-8</v>
      </c>
      <c r="D14" s="11">
        <v>0</v>
      </c>
      <c r="E14" s="12">
        <f>D14-D15</f>
        <v>0</v>
      </c>
      <c r="F14" s="11">
        <v>0</v>
      </c>
      <c r="G14" s="12">
        <f>F14+F15</f>
        <v>0</v>
      </c>
      <c r="H14" s="11">
        <v>0</v>
      </c>
      <c r="I14" s="12">
        <f>H14-H15</f>
        <v>0</v>
      </c>
      <c r="J14" s="11">
        <v>1e-8</v>
      </c>
      <c r="K14" s="12">
        <f>J14-J15</f>
        <v>0</v>
      </c>
      <c r="L14" s="11">
        <v>1e-8</v>
      </c>
      <c r="M14" s="12">
        <f>L14-L15</f>
        <v>0</v>
      </c>
      <c r="N14" s="11">
        <v>1e-8</v>
      </c>
      <c r="O14" s="12">
        <f>N14-N15</f>
        <v>0</v>
      </c>
      <c r="P14" s="11">
        <v>0</v>
      </c>
      <c r="Q14" s="12">
        <f>P14+P15</f>
        <v>0</v>
      </c>
      <c r="R14" s="11">
        <v>0</v>
      </c>
      <c r="S14" s="12">
        <f>R14-R15</f>
        <v>0</v>
      </c>
      <c r="T14" s="11">
        <v>0</v>
      </c>
      <c r="U14" s="13">
        <f>T14+T15</f>
        <v>0</v>
      </c>
    </row>
    <row r="15" ht="18.5" customHeight="1" spans="1:21">
      <c r="A15" s="27"/>
      <c r="B15" s="28" t="s">
        <v>33</v>
      </c>
      <c r="C15" s="28">
        <v>1e-8</v>
      </c>
      <c r="D15" s="29">
        <v>0</v>
      </c>
      <c r="E15" s="30"/>
      <c r="F15" s="29">
        <v>0</v>
      </c>
      <c r="G15" s="30"/>
      <c r="H15" s="29">
        <v>0</v>
      </c>
      <c r="I15" s="30"/>
      <c r="J15" s="29">
        <v>1e-8</v>
      </c>
      <c r="K15" s="30"/>
      <c r="L15" s="29">
        <v>1e-8</v>
      </c>
      <c r="M15" s="30"/>
      <c r="N15" s="29">
        <v>1e-8</v>
      </c>
      <c r="O15" s="30"/>
      <c r="P15" s="29">
        <v>0</v>
      </c>
      <c r="Q15" s="30"/>
      <c r="R15" s="29">
        <v>0</v>
      </c>
      <c r="S15" s="30"/>
      <c r="T15" s="29">
        <v>0</v>
      </c>
      <c r="U15" s="31"/>
    </row>
    <row r="16" ht="18.5" customHeight="1"/>
    <row r="17" ht="18.5" customHeight="1"/>
    <row r="18" ht="14.25" spans="1:21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4</v>
      </c>
      <c r="H18" s="2" t="s">
        <v>6</v>
      </c>
      <c r="I18" s="2" t="s">
        <v>4</v>
      </c>
      <c r="J18" s="2" t="s">
        <v>7</v>
      </c>
      <c r="K18" s="2" t="s">
        <v>4</v>
      </c>
      <c r="L18" s="2" t="s">
        <v>8</v>
      </c>
      <c r="M18" s="2" t="s">
        <v>4</v>
      </c>
      <c r="N18" s="2" t="s">
        <v>9</v>
      </c>
      <c r="O18" s="2" t="s">
        <v>4</v>
      </c>
      <c r="P18" s="2" t="s">
        <v>10</v>
      </c>
      <c r="Q18" s="2" t="s">
        <v>4</v>
      </c>
      <c r="R18" s="2" t="s">
        <v>11</v>
      </c>
      <c r="S18" s="2" t="s">
        <v>4</v>
      </c>
      <c r="T18" s="2" t="s">
        <v>12</v>
      </c>
      <c r="U18" s="3" t="s">
        <v>4</v>
      </c>
    </row>
    <row r="19" ht="18.5" customHeight="1" spans="1:21">
      <c r="A19" s="9" t="s">
        <v>34</v>
      </c>
      <c r="B19" s="10" t="s">
        <v>35</v>
      </c>
      <c r="C19" s="11">
        <v>0.8241</v>
      </c>
      <c r="D19" s="26">
        <v>0.0011191</v>
      </c>
      <c r="E19" s="12">
        <f t="shared" ref="E19:E23" si="0">D19-D20</f>
        <v>1.23000000000007e-6</v>
      </c>
      <c r="F19" s="11">
        <v>0.00438728</v>
      </c>
      <c r="G19" s="12">
        <f>F19+F20</f>
        <v>-1.42999999999931e-6</v>
      </c>
      <c r="H19" s="11">
        <v>3.117e-5</v>
      </c>
      <c r="I19" s="12">
        <f t="shared" ref="I19:I23" si="1">H19-H20</f>
        <v>-1.99999999999964e-8</v>
      </c>
      <c r="J19" s="11">
        <v>0.00196219</v>
      </c>
      <c r="K19" s="12">
        <f t="shared" ref="K19:K23" si="2">J19-J20</f>
        <v>-7.99999999999586e-8</v>
      </c>
      <c r="L19" s="11">
        <v>0.00023972</v>
      </c>
      <c r="M19" s="12">
        <f t="shared" ref="M19:M23" si="3">L19-L20</f>
        <v>9.99999999999482e-9</v>
      </c>
      <c r="N19" s="11">
        <v>0.00191017</v>
      </c>
      <c r="O19" s="12">
        <f>N19-N20</f>
        <v>-3.99999999999793e-8</v>
      </c>
      <c r="P19" s="26">
        <v>-4.93e-5</v>
      </c>
      <c r="Q19" s="12">
        <f>P19+P20</f>
        <v>1.00000000000016e-8</v>
      </c>
      <c r="R19" s="11">
        <v>2.1e-7</v>
      </c>
      <c r="S19" s="12">
        <f t="shared" ref="S19:S23" si="4">R19-R20</f>
        <v>0</v>
      </c>
      <c r="T19" s="11">
        <v>-2e-7</v>
      </c>
      <c r="U19" s="13">
        <f>T19+T20</f>
        <v>0</v>
      </c>
    </row>
    <row r="20" ht="18.5" customHeight="1" spans="1:21">
      <c r="A20" s="9"/>
      <c r="B20" s="10" t="s">
        <v>36</v>
      </c>
      <c r="C20" s="11">
        <v>0.8241</v>
      </c>
      <c r="D20" s="11">
        <v>0.00111787</v>
      </c>
      <c r="E20" s="12"/>
      <c r="F20" s="11">
        <v>-0.00438871</v>
      </c>
      <c r="G20" s="12"/>
      <c r="H20" s="11">
        <v>3.119e-5</v>
      </c>
      <c r="I20" s="12"/>
      <c r="J20" s="11">
        <v>0.00196227</v>
      </c>
      <c r="K20" s="12"/>
      <c r="L20" s="11">
        <v>0.00023971</v>
      </c>
      <c r="M20" s="12"/>
      <c r="N20" s="11">
        <v>0.00191021</v>
      </c>
      <c r="O20" s="12"/>
      <c r="P20" s="11">
        <v>4.931e-5</v>
      </c>
      <c r="Q20" s="12"/>
      <c r="R20" s="11">
        <v>2.1e-7</v>
      </c>
      <c r="S20" s="12"/>
      <c r="T20" s="11">
        <v>2e-7</v>
      </c>
      <c r="U20" s="13"/>
    </row>
    <row r="21" ht="18.5" customHeight="1" spans="1:21">
      <c r="A21" s="14" t="s">
        <v>37</v>
      </c>
      <c r="B21" s="15" t="s">
        <v>38</v>
      </c>
      <c r="C21" s="16">
        <v>0.6232</v>
      </c>
      <c r="D21" s="19">
        <v>-0.00218062</v>
      </c>
      <c r="E21" s="20">
        <f t="shared" si="0"/>
        <v>3.16000000000032e-6</v>
      </c>
      <c r="F21" s="16">
        <v>0.00072932</v>
      </c>
      <c r="G21" s="17">
        <f>F21+F22</f>
        <v>7.19999999999952e-7</v>
      </c>
      <c r="H21" s="16">
        <v>-0.03915962</v>
      </c>
      <c r="I21" s="17">
        <f t="shared" si="1"/>
        <v>-2.99999999980871e-8</v>
      </c>
      <c r="J21" s="16">
        <v>0.00132318</v>
      </c>
      <c r="K21" s="17">
        <f t="shared" si="2"/>
        <v>-9.99999999994061e-9</v>
      </c>
      <c r="L21" s="16">
        <v>0.00139909</v>
      </c>
      <c r="M21" s="17">
        <f t="shared" si="3"/>
        <v>9.99999999994061e-9</v>
      </c>
      <c r="N21" s="16">
        <v>0.00040082</v>
      </c>
      <c r="O21" s="17">
        <f t="shared" ref="O19:O23" si="5">N21-N22</f>
        <v>9.99999999999482e-9</v>
      </c>
      <c r="P21" s="16">
        <v>-1.34e-6</v>
      </c>
      <c r="Q21" s="17">
        <f>P21+P22</f>
        <v>0</v>
      </c>
      <c r="R21" s="16">
        <v>4.808e-5</v>
      </c>
      <c r="S21" s="17">
        <f t="shared" si="4"/>
        <v>0</v>
      </c>
      <c r="T21" s="16">
        <v>-6.89e-6</v>
      </c>
      <c r="U21" s="18">
        <f>T21+T22</f>
        <v>0</v>
      </c>
    </row>
    <row r="22" ht="18.5" customHeight="1" spans="1:21">
      <c r="A22" s="14"/>
      <c r="B22" s="15" t="s">
        <v>39</v>
      </c>
      <c r="C22" s="16">
        <v>0.6232</v>
      </c>
      <c r="D22" s="19">
        <v>-0.00218378</v>
      </c>
      <c r="E22" s="20"/>
      <c r="F22" s="25">
        <v>-0.0007286</v>
      </c>
      <c r="G22" s="17"/>
      <c r="H22" s="16">
        <v>-0.03915959</v>
      </c>
      <c r="I22" s="17"/>
      <c r="J22" s="16">
        <v>0.00132319</v>
      </c>
      <c r="K22" s="17"/>
      <c r="L22" s="16">
        <v>0.00139908</v>
      </c>
      <c r="M22" s="17"/>
      <c r="N22" s="16">
        <v>0.00040081</v>
      </c>
      <c r="O22" s="17"/>
      <c r="P22" s="16">
        <v>1.34e-6</v>
      </c>
      <c r="Q22" s="17"/>
      <c r="R22" s="16">
        <v>4.808e-5</v>
      </c>
      <c r="S22" s="17"/>
      <c r="T22" s="16">
        <v>6.89e-6</v>
      </c>
      <c r="U22" s="18"/>
    </row>
    <row r="23" ht="18.5" customHeight="1" spans="1:21">
      <c r="A23" s="9" t="s">
        <v>40</v>
      </c>
      <c r="B23" s="10" t="s">
        <v>41</v>
      </c>
      <c r="C23" s="11">
        <v>0.96385</v>
      </c>
      <c r="D23" s="11">
        <v>0.00201479</v>
      </c>
      <c r="E23" s="12">
        <f t="shared" si="0"/>
        <v>4.29999999999615e-7</v>
      </c>
      <c r="F23" s="11">
        <v>0.00093527</v>
      </c>
      <c r="G23" s="12">
        <f>F23+F24</f>
        <v>-1.11000000000002e-6</v>
      </c>
      <c r="H23" s="11">
        <v>-0.10684697</v>
      </c>
      <c r="I23" s="12">
        <f>H23-H24</f>
        <v>9.90000000006264e-7</v>
      </c>
      <c r="J23" s="11">
        <v>0.00725088</v>
      </c>
      <c r="K23" s="12">
        <f t="shared" si="2"/>
        <v>5.00000000005704e-8</v>
      </c>
      <c r="L23" s="11">
        <v>0.00724431</v>
      </c>
      <c r="M23" s="12">
        <f t="shared" si="3"/>
        <v>3.00000000006892e-8</v>
      </c>
      <c r="N23" s="11">
        <v>0.00063833</v>
      </c>
      <c r="O23" s="12">
        <f t="shared" si="5"/>
        <v>-1.0000000000049e-8</v>
      </c>
      <c r="P23" s="26">
        <v>1.5e-6</v>
      </c>
      <c r="Q23" s="12">
        <f>P23+P24</f>
        <v>-9.9999999999999e-9</v>
      </c>
      <c r="R23" s="11">
        <v>-4.792e-5</v>
      </c>
      <c r="S23" s="12">
        <f t="shared" si="4"/>
        <v>9.99999999999482e-9</v>
      </c>
      <c r="T23" s="11">
        <v>8.949e-5</v>
      </c>
      <c r="U23" s="13">
        <f>T23+T24</f>
        <v>-5.00000000000012e-8</v>
      </c>
    </row>
    <row r="24" ht="18.5" customHeight="1" spans="1:21">
      <c r="A24" s="9"/>
      <c r="B24" s="10" t="s">
        <v>42</v>
      </c>
      <c r="C24" s="11">
        <v>0.96385</v>
      </c>
      <c r="D24" s="11">
        <v>0.00201436</v>
      </c>
      <c r="E24" s="12"/>
      <c r="F24" s="11">
        <v>-0.00093638</v>
      </c>
      <c r="G24" s="12"/>
      <c r="H24" s="11">
        <v>-0.10684796</v>
      </c>
      <c r="I24" s="12"/>
      <c r="J24" s="11">
        <v>0.00725083</v>
      </c>
      <c r="K24" s="12"/>
      <c r="L24" s="11">
        <v>0.00724428</v>
      </c>
      <c r="M24" s="12"/>
      <c r="N24" s="11">
        <v>0.00063834</v>
      </c>
      <c r="O24" s="12"/>
      <c r="P24" s="11">
        <v>-1.51e-6</v>
      </c>
      <c r="Q24" s="12"/>
      <c r="R24" s="11">
        <v>-4.793e-5</v>
      </c>
      <c r="S24" s="12"/>
      <c r="T24" s="11">
        <v>-8.954e-5</v>
      </c>
      <c r="U24" s="13"/>
    </row>
    <row r="25" ht="18.5" customHeight="1" spans="1:21">
      <c r="A25" s="14" t="s">
        <v>43</v>
      </c>
      <c r="B25" s="15" t="s">
        <v>44</v>
      </c>
      <c r="C25" s="16">
        <v>0.7625</v>
      </c>
      <c r="D25" s="16">
        <v>0.06257789</v>
      </c>
      <c r="E25" s="17">
        <f>D25-D26</f>
        <v>-5.29999999998587e-7</v>
      </c>
      <c r="F25" s="25">
        <v>-0.0017927</v>
      </c>
      <c r="G25" s="17">
        <f>F25+F26</f>
        <v>1.15000000000011e-6</v>
      </c>
      <c r="H25" s="16">
        <v>0.00059801</v>
      </c>
      <c r="I25" s="17">
        <f>H25-H26</f>
        <v>-2.20000000000103e-7</v>
      </c>
      <c r="J25" s="16">
        <v>0.00048567</v>
      </c>
      <c r="K25" s="17">
        <f>J25-J26</f>
        <v>0</v>
      </c>
      <c r="L25" s="16">
        <v>0.00255883</v>
      </c>
      <c r="M25" s="17">
        <f>L25-L26</f>
        <v>-1.00000000003743e-8</v>
      </c>
      <c r="N25" s="16">
        <v>0.00265665</v>
      </c>
      <c r="O25" s="17">
        <f t="shared" ref="O25:O29" si="6">N25-N26</f>
        <v>-1.99999999998812e-8</v>
      </c>
      <c r="P25" s="16">
        <v>-8.228e-5</v>
      </c>
      <c r="Q25" s="17">
        <f>P25+P26</f>
        <v>1.99999999999896e-8</v>
      </c>
      <c r="R25" s="16">
        <v>-5.367e-5</v>
      </c>
      <c r="S25" s="17">
        <f t="shared" ref="S25:S29" si="7">R25-R26</f>
        <v>0</v>
      </c>
      <c r="T25" s="16">
        <v>-3.9e-7</v>
      </c>
      <c r="U25" s="18">
        <f>T25+T26</f>
        <v>-1e-8</v>
      </c>
    </row>
    <row r="26" ht="18.5" customHeight="1" spans="1:21">
      <c r="A26" s="14"/>
      <c r="B26" s="15" t="s">
        <v>45</v>
      </c>
      <c r="C26" s="16">
        <v>0.7625</v>
      </c>
      <c r="D26" s="16">
        <v>0.06257842</v>
      </c>
      <c r="E26" s="17"/>
      <c r="F26" s="16">
        <v>0.00179385</v>
      </c>
      <c r="G26" s="17"/>
      <c r="H26" s="16">
        <v>0.00059823</v>
      </c>
      <c r="I26" s="17"/>
      <c r="J26" s="16">
        <v>0.00048567</v>
      </c>
      <c r="K26" s="17"/>
      <c r="L26" s="16">
        <v>0.00255884</v>
      </c>
      <c r="M26" s="17"/>
      <c r="N26" s="16">
        <v>0.00265667</v>
      </c>
      <c r="O26" s="17"/>
      <c r="P26" s="25">
        <v>8.23e-5</v>
      </c>
      <c r="Q26" s="17"/>
      <c r="R26" s="16">
        <v>-5.367e-5</v>
      </c>
      <c r="S26" s="17"/>
      <c r="T26" s="16">
        <v>3.8e-7</v>
      </c>
      <c r="U26" s="18"/>
    </row>
    <row r="27" ht="18.5" customHeight="1" spans="1:21">
      <c r="A27" s="9" t="s">
        <v>46</v>
      </c>
      <c r="B27" s="10" t="s">
        <v>47</v>
      </c>
      <c r="C27" s="11">
        <v>0.1446</v>
      </c>
      <c r="D27" s="19">
        <v>0.03860266</v>
      </c>
      <c r="E27" s="20">
        <f>D27-D28</f>
        <v>1.86499999999951e-5</v>
      </c>
      <c r="F27" s="26">
        <v>-7e-6</v>
      </c>
      <c r="G27" s="12">
        <f>F27+F28</f>
        <v>1.32e-6</v>
      </c>
      <c r="H27" s="19">
        <v>-7.84e-6</v>
      </c>
      <c r="I27" s="20">
        <f t="shared" ref="I27:M27" si="8">H27-H28</f>
        <v>9.76e-6</v>
      </c>
      <c r="J27" s="26">
        <v>6.19e-5</v>
      </c>
      <c r="K27" s="12">
        <f t="shared" si="8"/>
        <v>-9.99999999999482e-9</v>
      </c>
      <c r="L27" s="11">
        <v>0.00072945</v>
      </c>
      <c r="M27" s="12">
        <f t="shared" si="8"/>
        <v>7.0000000000018e-8</v>
      </c>
      <c r="N27" s="26">
        <v>0.0007298</v>
      </c>
      <c r="O27" s="12">
        <f t="shared" si="6"/>
        <v>6.99999999999095e-8</v>
      </c>
      <c r="P27" s="11">
        <v>0</v>
      </c>
      <c r="Q27" s="12">
        <f>P27+P28</f>
        <v>0</v>
      </c>
      <c r="R27" s="11">
        <v>0</v>
      </c>
      <c r="S27" s="12">
        <f t="shared" si="7"/>
        <v>0</v>
      </c>
      <c r="T27" s="11">
        <v>0</v>
      </c>
      <c r="U27" s="13">
        <f>T27+T28</f>
        <v>0</v>
      </c>
    </row>
    <row r="28" ht="14.25" spans="1:21">
      <c r="A28" s="27"/>
      <c r="B28" s="28" t="s">
        <v>48</v>
      </c>
      <c r="C28" s="29">
        <v>0.1446</v>
      </c>
      <c r="D28" s="32">
        <v>0.03858401</v>
      </c>
      <c r="E28" s="33"/>
      <c r="F28" s="29">
        <v>8.32e-6</v>
      </c>
      <c r="G28" s="30"/>
      <c r="H28" s="34">
        <v>-1.76e-5</v>
      </c>
      <c r="I28" s="33"/>
      <c r="J28" s="29">
        <v>6.191e-5</v>
      </c>
      <c r="K28" s="30"/>
      <c r="L28" s="29">
        <v>0.00072938</v>
      </c>
      <c r="M28" s="30"/>
      <c r="N28" s="29">
        <v>0.00072973</v>
      </c>
      <c r="O28" s="30"/>
      <c r="P28" s="29">
        <v>0</v>
      </c>
      <c r="Q28" s="30"/>
      <c r="R28" s="29">
        <v>0</v>
      </c>
      <c r="S28" s="30"/>
      <c r="T28" s="29">
        <v>0</v>
      </c>
      <c r="U28" s="13"/>
    </row>
    <row r="29" ht="14.25" spans="1:21">
      <c r="B29" s="10" t="s">
        <v>47</v>
      </c>
      <c r="C29" s="11">
        <v>0.1446</v>
      </c>
      <c r="D29" s="11">
        <v>0.03849883</v>
      </c>
      <c r="E29" s="35">
        <f t="shared" ref="E29:I29" si="9">D29-D30</f>
        <v>1.99999999964118e-8</v>
      </c>
      <c r="F29" s="26">
        <v>-7e-6</v>
      </c>
      <c r="G29" s="35">
        <f t="shared" si="9"/>
        <v>-1.421e-5</v>
      </c>
      <c r="H29" s="11">
        <v>-7.84e-6</v>
      </c>
      <c r="I29" s="35">
        <f t="shared" si="9"/>
        <v>-1.19999999999999e-7</v>
      </c>
      <c r="J29" s="10">
        <v>6.19e-5</v>
      </c>
      <c r="K29" s="35">
        <f>J29-J30</f>
        <v>0</v>
      </c>
      <c r="L29" s="10">
        <v>0.00072891</v>
      </c>
      <c r="M29" s="35">
        <f>L29-L30</f>
        <v>-9.99999999994061e-9</v>
      </c>
      <c r="N29" s="10">
        <v>0.00072927</v>
      </c>
      <c r="O29" s="35">
        <f t="shared" si="6"/>
        <v>0</v>
      </c>
      <c r="P29" s="10">
        <v>0</v>
      </c>
      <c r="Q29" s="35">
        <f>P29-P30</f>
        <v>0</v>
      </c>
      <c r="R29" s="10">
        <v>0</v>
      </c>
      <c r="S29" s="35">
        <f t="shared" si="7"/>
        <v>0</v>
      </c>
      <c r="T29" s="10">
        <v>0</v>
      </c>
      <c r="U29" s="35">
        <f>T29-T30</f>
        <v>0</v>
      </c>
    </row>
    <row r="30" ht="14.25" spans="1:21">
      <c r="B30" s="28" t="s">
        <v>48</v>
      </c>
      <c r="C30" s="29">
        <v>0.1446</v>
      </c>
      <c r="D30" s="29">
        <v>0.03849881</v>
      </c>
      <c r="E30" s="36"/>
      <c r="F30" s="29">
        <v>7.21e-6</v>
      </c>
      <c r="G30" s="36"/>
      <c r="H30" s="29">
        <v>-7.72e-6</v>
      </c>
      <c r="I30" s="36"/>
      <c r="J30" s="28">
        <v>6.19e-5</v>
      </c>
      <c r="K30" s="36"/>
      <c r="L30" s="28">
        <v>0.00072892</v>
      </c>
      <c r="M30" s="36"/>
      <c r="N30" s="28">
        <v>0.00072927</v>
      </c>
      <c r="O30" s="36"/>
      <c r="P30" s="28">
        <v>0</v>
      </c>
      <c r="Q30" s="36"/>
      <c r="R30" s="28">
        <v>0</v>
      </c>
      <c r="S30" s="36"/>
      <c r="T30" s="28">
        <v>0</v>
      </c>
      <c r="U30" s="36"/>
    </row>
    <row r="33" ht="16.5" spans="1:17">
      <c r="B33" s="37"/>
    </row>
    <row r="36" ht="14.25" spans="1:17">
      <c r="A36" s="1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4</v>
      </c>
      <c r="H36" s="2" t="s">
        <v>6</v>
      </c>
      <c r="I36" s="2" t="s">
        <v>4</v>
      </c>
    </row>
    <row r="37" ht="14.25" spans="1:17">
      <c r="A37" s="14" t="s">
        <v>22</v>
      </c>
      <c r="B37" s="15" t="s">
        <v>23</v>
      </c>
      <c r="C37" s="15">
        <v>2.73576</v>
      </c>
      <c r="D37" s="23">
        <v>-0.00110256</v>
      </c>
      <c r="E37" s="24">
        <f>D37-D38</f>
        <v>1.08299999999999e-5</v>
      </c>
      <c r="F37" s="19">
        <v>0.00099679</v>
      </c>
      <c r="G37" s="20">
        <f>F37+F38</f>
        <v>3.909e-5</v>
      </c>
      <c r="H37" s="19">
        <v>-0.13258743</v>
      </c>
      <c r="I37" s="20">
        <f>H37-H38</f>
        <v>1.42399999999987e-5</v>
      </c>
    </row>
    <row r="38" ht="14.25" spans="1:17">
      <c r="A38" s="14"/>
      <c r="B38" s="15" t="s">
        <v>24</v>
      </c>
      <c r="C38" s="15">
        <v>2.73576</v>
      </c>
      <c r="D38" s="23">
        <v>-0.00111339</v>
      </c>
      <c r="E38" s="24"/>
      <c r="F38" s="22">
        <v>-0.0009577</v>
      </c>
      <c r="G38" s="20"/>
      <c r="H38" s="19">
        <v>-0.13260167</v>
      </c>
      <c r="I38" s="20"/>
    </row>
    <row r="44" ht="14.25" spans="1:17">
      <c r="A44" s="1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4</v>
      </c>
      <c r="H44" s="2" t="s">
        <v>6</v>
      </c>
      <c r="I44" s="2" t="s">
        <v>4</v>
      </c>
      <c r="J44" s="2" t="s">
        <v>7</v>
      </c>
      <c r="K44" s="2" t="s">
        <v>4</v>
      </c>
      <c r="L44" s="2" t="s">
        <v>8</v>
      </c>
      <c r="M44" s="2" t="s">
        <v>4</v>
      </c>
      <c r="N44" s="2" t="s">
        <v>9</v>
      </c>
      <c r="O44" s="2" t="s">
        <v>4</v>
      </c>
      <c r="P44" s="2"/>
      <c r="Q44" s="2"/>
    </row>
    <row r="45" ht="14.25" spans="1:17">
      <c r="A45" s="9" t="s">
        <v>19</v>
      </c>
      <c r="B45" s="10" t="s">
        <v>20</v>
      </c>
      <c r="C45" s="10">
        <v>1.9674</v>
      </c>
      <c r="D45" s="19">
        <v>0.00363502</v>
      </c>
      <c r="E45" s="20">
        <f>D45-D46</f>
        <v>8.95000000000019e-6</v>
      </c>
      <c r="F45" s="19">
        <v>-0.00257968</v>
      </c>
      <c r="G45" s="20">
        <f>F45+F46</f>
        <v>4.05200000000001e-5</v>
      </c>
      <c r="H45" s="19">
        <v>-0.13138713</v>
      </c>
      <c r="I45" s="20">
        <f t="shared" ref="I45:M45" si="10">H45-H46</f>
        <v>-4.68299999999977e-5</v>
      </c>
      <c r="J45" s="19">
        <v>0.01876222</v>
      </c>
      <c r="K45" s="20">
        <f t="shared" si="10"/>
        <v>3.77999999999837e-6</v>
      </c>
      <c r="L45" s="19">
        <v>0.01852053</v>
      </c>
      <c r="M45" s="20">
        <f t="shared" si="10"/>
        <v>4.65000000000187e-6</v>
      </c>
      <c r="N45" s="19">
        <v>0.00217007</v>
      </c>
      <c r="O45" s="20">
        <f>N45-N46</f>
        <v>1.5499999999999e-6</v>
      </c>
    </row>
    <row r="46" ht="14.25" spans="1:17">
      <c r="A46" s="9"/>
      <c r="B46" s="10" t="s">
        <v>21</v>
      </c>
      <c r="C46" s="10">
        <v>1.9674</v>
      </c>
      <c r="D46" s="19">
        <v>0.00362607</v>
      </c>
      <c r="E46" s="20"/>
      <c r="F46" s="22">
        <v>0.0026202</v>
      </c>
      <c r="G46" s="20"/>
      <c r="H46" s="22">
        <v>-0.1313403</v>
      </c>
      <c r="I46" s="20"/>
      <c r="J46" s="19">
        <v>0.01875844</v>
      </c>
      <c r="K46" s="20"/>
      <c r="L46" s="19">
        <v>0.01851588</v>
      </c>
      <c r="M46" s="20"/>
      <c r="N46" s="19">
        <v>0.00216852</v>
      </c>
      <c r="O46" s="20"/>
    </row>
  </sheetData>
  <mergeCells count="140">
    <mergeCell ref="A2:A3"/>
    <mergeCell ref="A4:A5"/>
    <mergeCell ref="A6:A7"/>
    <mergeCell ref="A8:A9"/>
    <mergeCell ref="A10:A11"/>
    <mergeCell ref="A12:A13"/>
    <mergeCell ref="A14:A15"/>
    <mergeCell ref="A19:A20"/>
    <mergeCell ref="A21:A22"/>
    <mergeCell ref="A23:A24"/>
    <mergeCell ref="A25:A26"/>
    <mergeCell ref="A27:A28"/>
    <mergeCell ref="A37:A38"/>
    <mergeCell ref="A45:A46"/>
    <mergeCell ref="E2:E3"/>
    <mergeCell ref="E4:E5"/>
    <mergeCell ref="E6:E7"/>
    <mergeCell ref="E8:E9"/>
    <mergeCell ref="E10:E11"/>
    <mergeCell ref="E12:E13"/>
    <mergeCell ref="E14:E15"/>
    <mergeCell ref="E19:E20"/>
    <mergeCell ref="E21:E22"/>
    <mergeCell ref="E23:E24"/>
    <mergeCell ref="E25:E26"/>
    <mergeCell ref="E27:E28"/>
    <mergeCell ref="E29:E30"/>
    <mergeCell ref="E37:E38"/>
    <mergeCell ref="E45:E46"/>
    <mergeCell ref="G2:G3"/>
    <mergeCell ref="G4:G5"/>
    <mergeCell ref="G6:G7"/>
    <mergeCell ref="G8:G9"/>
    <mergeCell ref="G10:G11"/>
    <mergeCell ref="G12:G13"/>
    <mergeCell ref="G14:G15"/>
    <mergeCell ref="G19:G20"/>
    <mergeCell ref="G21:G22"/>
    <mergeCell ref="G23:G24"/>
    <mergeCell ref="G25:G26"/>
    <mergeCell ref="G27:G28"/>
    <mergeCell ref="G29:G30"/>
    <mergeCell ref="G37:G38"/>
    <mergeCell ref="G45:G46"/>
    <mergeCell ref="I2:I3"/>
    <mergeCell ref="I4:I5"/>
    <mergeCell ref="I6:I7"/>
    <mergeCell ref="I8:I9"/>
    <mergeCell ref="I10:I11"/>
    <mergeCell ref="I12:I13"/>
    <mergeCell ref="I14:I15"/>
    <mergeCell ref="I19:I20"/>
    <mergeCell ref="I21:I22"/>
    <mergeCell ref="I23:I24"/>
    <mergeCell ref="I25:I26"/>
    <mergeCell ref="I27:I28"/>
    <mergeCell ref="I29:I30"/>
    <mergeCell ref="I37:I38"/>
    <mergeCell ref="I45:I46"/>
    <mergeCell ref="K2:K3"/>
    <mergeCell ref="K4:K5"/>
    <mergeCell ref="K6:K7"/>
    <mergeCell ref="K8:K9"/>
    <mergeCell ref="K10:K11"/>
    <mergeCell ref="K12:K13"/>
    <mergeCell ref="K14:K15"/>
    <mergeCell ref="K19:K20"/>
    <mergeCell ref="K21:K22"/>
    <mergeCell ref="K23:K24"/>
    <mergeCell ref="K25:K26"/>
    <mergeCell ref="K27:K28"/>
    <mergeCell ref="K29:K30"/>
    <mergeCell ref="K45:K46"/>
    <mergeCell ref="M2:M3"/>
    <mergeCell ref="M4:M5"/>
    <mergeCell ref="M6:M7"/>
    <mergeCell ref="M8:M9"/>
    <mergeCell ref="M10:M11"/>
    <mergeCell ref="M12:M13"/>
    <mergeCell ref="M14:M15"/>
    <mergeCell ref="M19:M20"/>
    <mergeCell ref="M21:M22"/>
    <mergeCell ref="M23:M24"/>
    <mergeCell ref="M25:M26"/>
    <mergeCell ref="M27:M28"/>
    <mergeCell ref="M29:M30"/>
    <mergeCell ref="M45:M46"/>
    <mergeCell ref="O2:O3"/>
    <mergeCell ref="O4:O5"/>
    <mergeCell ref="O6:O7"/>
    <mergeCell ref="O8:O9"/>
    <mergeCell ref="O10:O11"/>
    <mergeCell ref="O12:O13"/>
    <mergeCell ref="O14:O15"/>
    <mergeCell ref="O19:O20"/>
    <mergeCell ref="O21:O22"/>
    <mergeCell ref="O23:O24"/>
    <mergeCell ref="O25:O26"/>
    <mergeCell ref="O27:O28"/>
    <mergeCell ref="O29:O30"/>
    <mergeCell ref="O45:O46"/>
    <mergeCell ref="Q2:Q3"/>
    <mergeCell ref="Q4:Q5"/>
    <mergeCell ref="Q6:Q7"/>
    <mergeCell ref="Q8:Q9"/>
    <mergeCell ref="Q10:Q11"/>
    <mergeCell ref="Q12:Q13"/>
    <mergeCell ref="Q14:Q15"/>
    <mergeCell ref="Q19:Q20"/>
    <mergeCell ref="Q21:Q22"/>
    <mergeCell ref="Q23:Q24"/>
    <mergeCell ref="Q25:Q26"/>
    <mergeCell ref="Q27:Q28"/>
    <mergeCell ref="Q29:Q30"/>
    <mergeCell ref="S2:S3"/>
    <mergeCell ref="S4:S5"/>
    <mergeCell ref="S6:S7"/>
    <mergeCell ref="S8:S9"/>
    <mergeCell ref="S10:S11"/>
    <mergeCell ref="S12:S13"/>
    <mergeCell ref="S14:S15"/>
    <mergeCell ref="S19:S20"/>
    <mergeCell ref="S21:S22"/>
    <mergeCell ref="S23:S24"/>
    <mergeCell ref="S25:S26"/>
    <mergeCell ref="S27:S28"/>
    <mergeCell ref="S29:S30"/>
    <mergeCell ref="U2:U3"/>
    <mergeCell ref="U4:U5"/>
    <mergeCell ref="U6:U7"/>
    <mergeCell ref="U8:U9"/>
    <mergeCell ref="U10:U11"/>
    <mergeCell ref="U12:U13"/>
    <mergeCell ref="U14:U15"/>
    <mergeCell ref="U19:U20"/>
    <mergeCell ref="U21:U22"/>
    <mergeCell ref="U23:U24"/>
    <mergeCell ref="U25:U26"/>
    <mergeCell ref="U27:U28"/>
    <mergeCell ref="U29:U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 Sky</cp:lastModifiedBy>
  <dcterms:created xsi:type="dcterms:W3CDTF">2026-03-24T08:54:00Z</dcterms:created>
  <dcterms:modified xsi:type="dcterms:W3CDTF">2026-03-25T05:22:09Z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CB6BB5242AF84E2B8D84B3F8E06AA5A8_13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